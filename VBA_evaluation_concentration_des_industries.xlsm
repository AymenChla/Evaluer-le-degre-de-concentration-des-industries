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 pro\Desktop\aymen\evaluer-le-degre-de-concentration-des-industries-\"/>
    </mc:Choice>
  </mc:AlternateContent>
  <bookViews>
    <workbookView xWindow="0" yWindow="0" windowWidth="15345" windowHeight="5415" activeTab="1"/>
  </bookViews>
  <sheets>
    <sheet name="CA" sheetId="7" r:id="rId1"/>
    <sheet name="Synthèse" sheetId="4" r:id="rId2"/>
  </sheets>
  <definedNames>
    <definedName name="entreprises">#REF!</definedName>
    <definedName name="marchés">#REF!</definedName>
  </definedNames>
  <calcPr calcId="162913" concurrentCalc="0"/>
</workbook>
</file>

<file path=xl/calcChain.xml><?xml version="1.0" encoding="utf-8"?>
<calcChain xmlns="http://schemas.openxmlformats.org/spreadsheetml/2006/main">
  <c r="J17" i="7" l="1"/>
  <c r="K17" i="7"/>
  <c r="L17" i="7"/>
  <c r="M17" i="7"/>
  <c r="I17" i="7"/>
  <c r="J16" i="7"/>
  <c r="K16" i="7"/>
  <c r="L16" i="7"/>
  <c r="M16" i="7"/>
  <c r="I16" i="7"/>
  <c r="J15" i="7"/>
  <c r="K15" i="7"/>
  <c r="L15" i="7"/>
  <c r="M15" i="7"/>
  <c r="I15" i="7"/>
  <c r="J14" i="7"/>
  <c r="K14" i="7"/>
  <c r="L14" i="7"/>
  <c r="M14" i="7"/>
  <c r="I14" i="7"/>
  <c r="J13" i="7"/>
  <c r="K13" i="7"/>
  <c r="L13" i="7"/>
  <c r="M13" i="7"/>
  <c r="I13" i="7"/>
  <c r="J12" i="7"/>
  <c r="K12" i="7"/>
  <c r="L12" i="7"/>
  <c r="M12" i="7"/>
  <c r="I12" i="7"/>
  <c r="J11" i="7"/>
  <c r="K11" i="7"/>
  <c r="L11" i="7"/>
  <c r="M11" i="7"/>
  <c r="I11" i="7"/>
  <c r="J10" i="7"/>
  <c r="K10" i="7"/>
  <c r="L10" i="7"/>
  <c r="M10" i="7"/>
  <c r="I10" i="7"/>
  <c r="J9" i="7"/>
  <c r="K9" i="7"/>
  <c r="L9" i="7"/>
  <c r="M9" i="7"/>
  <c r="I9" i="7"/>
  <c r="J8" i="7"/>
  <c r="K8" i="7"/>
  <c r="L8" i="7"/>
  <c r="M8" i="7"/>
  <c r="I8" i="7"/>
  <c r="J7" i="7"/>
  <c r="K7" i="7"/>
  <c r="L7" i="7"/>
  <c r="M7" i="7"/>
  <c r="I7" i="7"/>
  <c r="J6" i="7"/>
  <c r="K6" i="7"/>
  <c r="L6" i="7"/>
  <c r="M6" i="7"/>
  <c r="I6" i="7"/>
  <c r="J5" i="7"/>
  <c r="K5" i="7"/>
  <c r="L5" i="7"/>
  <c r="M5" i="7"/>
  <c r="I5" i="7"/>
  <c r="J4" i="7"/>
  <c r="K4" i="7"/>
  <c r="L4" i="7"/>
  <c r="M4" i="7"/>
  <c r="I4" i="7"/>
  <c r="J3" i="7"/>
  <c r="K3" i="7"/>
  <c r="L3" i="7"/>
  <c r="M3" i="7"/>
  <c r="I3" i="7"/>
  <c r="C18" i="7"/>
  <c r="D18" i="7"/>
  <c r="E18" i="7"/>
  <c r="F18" i="7"/>
  <c r="B18" i="7"/>
</calcChain>
</file>

<file path=xl/sharedStrings.xml><?xml version="1.0" encoding="utf-8"?>
<sst xmlns="http://schemas.openxmlformats.org/spreadsheetml/2006/main" count="51" uniqueCount="26">
  <si>
    <t>Entreprise 1</t>
  </si>
  <si>
    <t>Marché 1</t>
  </si>
  <si>
    <t>Entreprise 2</t>
  </si>
  <si>
    <t>Marché 2</t>
  </si>
  <si>
    <t>Entreprise 3</t>
  </si>
  <si>
    <t>Marché 3</t>
  </si>
  <si>
    <t>Entreprise 4</t>
  </si>
  <si>
    <t>Marché 4</t>
  </si>
  <si>
    <t>Entreprise 5</t>
  </si>
  <si>
    <t>Marché 5</t>
  </si>
  <si>
    <t>Entreprise 6</t>
  </si>
  <si>
    <t>Entreprise 7</t>
  </si>
  <si>
    <t>Entreprise 8</t>
  </si>
  <si>
    <t>Entreprise 9</t>
  </si>
  <si>
    <t>Entreprise 10</t>
  </si>
  <si>
    <t>Entreprise 11</t>
  </si>
  <si>
    <t>Entreprise 12</t>
  </si>
  <si>
    <t>Entreprise 13</t>
  </si>
  <si>
    <t>Entreprise 14</t>
  </si>
  <si>
    <t>Entreprise 15</t>
  </si>
  <si>
    <t>Tableau 3. Statistiques sur les ventes par marché</t>
  </si>
  <si>
    <t>Taille du marché (millions €)</t>
  </si>
  <si>
    <t>Indice d'Herfindahl-Hirschmann</t>
  </si>
  <si>
    <t>Tableau 1. Chiffre d'affaires des entreprises par marché</t>
  </si>
  <si>
    <t>Tableau 2. Part de marché des entreprises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</si>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</sst>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1" xfId="0" applyFill="1" applyBorder="1"/>
    <xf numFmtId="0" fontId="0" fillId="2" borderId="0" xfId="0" applyFill="1" applyBorder="1"/>
    <xf numFmtId="0" fontId="0" fillId="2" borderId="2" xfId="0" applyFill="1" applyBorder="1"/>
    <xf numFmtId="0" fontId="2" fillId="0" borderId="0" xfId="0" applyFont="1"/>
    <xf numFmtId="0" fontId="0" fillId="0" borderId="3" xfId="0" applyBorder="1"/>
    <xf numFmtId="0" fontId="0" fillId="3" borderId="1" xfId="0" applyFill="1" applyBorder="1" applyAlignment="1">
      <alignment horizontal="center"/>
    </xf>
    <xf numFmtId="0" fontId="0" fillId="0" borderId="4" xfId="0" applyBorder="1"/>
    <xf numFmtId="0" fontId="0" fillId="2" borderId="0" xfId="0" applyNumberFormat="1" applyFill="1"/>
    <xf numFmtId="0" fontId="0" fillId="2" borderId="0" xfId="0" applyNumberFormat="1" applyFill="1" applyBorder="1"/>
    <xf numFmtId="0" fontId="0" fillId="2" borderId="2" xfId="0" applyNumberFormat="1" applyFill="1" applyBorder="1"/>
    <xf numFmtId="0" fontId="0" fillId="0" borderId="4" xfId="0" applyNumberFormat="1" applyFon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3" fillId="0" borderId="4" xfId="0" applyNumberFormat="1" applyFont="1" applyBorder="1" applyAlignment="1">
      <alignment horizontal="center"/>
    </xf>
    <xf numFmtId="0" fontId="4" fillId="0" borderId="4" xfId="0" applyNumberFormat="1" applyFont="1" applyBorder="1" applyAlignment="1">
      <alignment horizontal="center"/>
    </xf>
    <xf numFmtId="0" fontId="3" fillId="0" borderId="3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M18"/>
  <sheetViews>
    <sheetView workbookViewId="0">
      <selection activeCell="B18" sqref="B18"/>
    </sheetView>
  </sheetViews>
  <sheetFormatPr defaultColWidth="11.42578125" defaultRowHeight="15" x14ac:dyDescent="0.25"/>
  <cols>
    <col min="1" max="1" width="13.140625" customWidth="1"/>
    <col min="8" max="8" width="12.140625" customWidth="1"/>
  </cols>
  <sheetData>
    <row r="1" spans="1:13" x14ac:dyDescent="0.25">
      <c r="A1" s="2" t="s">
        <v>23</v>
      </c>
      <c r="B1" s="1"/>
      <c r="C1" s="1"/>
      <c r="D1" s="1"/>
      <c r="E1" s="1"/>
      <c r="F1" s="1"/>
      <c r="H1" s="2" t="s">
        <v>24</v>
      </c>
      <c r="I1" s="1"/>
      <c r="J1" s="1"/>
      <c r="K1" s="1"/>
      <c r="L1" s="1"/>
      <c r="M1" s="1"/>
    </row>
    <row r="2" spans="1:13" x14ac:dyDescent="0.25">
      <c r="A2" s="3"/>
      <c r="B2" s="3" t="s">
        <v>1</v>
      </c>
      <c r="C2" s="3" t="s">
        <v>3</v>
      </c>
      <c r="D2" s="3" t="s">
        <v>5</v>
      </c>
      <c r="E2" s="3" t="s">
        <v>7</v>
      </c>
      <c r="F2" s="3" t="s">
        <v>9</v>
      </c>
      <c r="H2" s="3"/>
      <c r="I2" s="3" t="s">
        <v>1</v>
      </c>
      <c r="J2" s="3" t="s">
        <v>3</v>
      </c>
      <c r="K2" s="3" t="s">
        <v>5</v>
      </c>
      <c r="L2" s="3" t="s">
        <v>7</v>
      </c>
      <c r="M2" s="3" t="s">
        <v>9</v>
      </c>
    </row>
    <row r="3" spans="1:13" x14ac:dyDescent="0.25">
      <c r="A3" s="1" t="s">
        <v>0</v>
      </c>
      <c r="B3" s="1">
        <v>260</v>
      </c>
      <c r="C3" s="1">
        <v>100</v>
      </c>
      <c r="D3" s="1">
        <v>400</v>
      </c>
      <c r="E3" s="1">
        <v>1000</v>
      </c>
      <c r="F3" s="4">
        <v>400</v>
      </c>
      <c r="H3" s="1" t="s">
        <v>0</v>
      </c>
      <c r="I3" s="10">
        <f>ROUND((B3/B$18)*100,1)</f>
        <v>12.6</v>
      </c>
      <c r="J3" s="10">
        <f t="shared" ref="J3:M17" si="0">ROUND((C3/C$18)*100,1)</f>
        <v>11.3</v>
      </c>
      <c r="K3" s="10">
        <f t="shared" si="0"/>
        <v>11.7</v>
      </c>
      <c r="L3" s="10">
        <f t="shared" si="0"/>
        <v>37.6</v>
      </c>
      <c r="M3" s="10">
        <f t="shared" si="0"/>
        <v>10.5</v>
      </c>
    </row>
    <row r="4" spans="1:13" x14ac:dyDescent="0.25">
      <c r="A4" s="1" t="s">
        <v>2</v>
      </c>
      <c r="B4" s="1">
        <v>60</v>
      </c>
      <c r="C4" s="1">
        <v>120</v>
      </c>
      <c r="D4" s="4">
        <v>700</v>
      </c>
      <c r="E4" s="4">
        <v>300</v>
      </c>
      <c r="F4" s="4">
        <v>380</v>
      </c>
      <c r="H4" s="1" t="s">
        <v>2</v>
      </c>
      <c r="I4" s="10">
        <f>ROUND((B4/B$18)*100,1)</f>
        <v>2.9</v>
      </c>
      <c r="J4" s="10">
        <f t="shared" si="0"/>
        <v>13.5</v>
      </c>
      <c r="K4" s="10">
        <f t="shared" si="0"/>
        <v>20.399999999999999</v>
      </c>
      <c r="L4" s="10">
        <f t="shared" si="0"/>
        <v>11.3</v>
      </c>
      <c r="M4" s="10">
        <f t="shared" si="0"/>
        <v>10</v>
      </c>
    </row>
    <row r="5" spans="1:13" x14ac:dyDescent="0.25">
      <c r="A5" s="1" t="s">
        <v>4</v>
      </c>
      <c r="B5" s="1">
        <v>280</v>
      </c>
      <c r="C5" s="1">
        <v>60</v>
      </c>
      <c r="D5" s="1">
        <v>400</v>
      </c>
      <c r="E5" s="4">
        <v>150</v>
      </c>
      <c r="F5" s="1">
        <v>370</v>
      </c>
      <c r="H5" s="1" t="s">
        <v>4</v>
      </c>
      <c r="I5" s="10">
        <f>ROUND((B5/B$18)*100,1)</f>
        <v>13.6</v>
      </c>
      <c r="J5" s="10">
        <f t="shared" si="0"/>
        <v>6.8</v>
      </c>
      <c r="K5" s="10">
        <f t="shared" si="0"/>
        <v>11.7</v>
      </c>
      <c r="L5" s="10">
        <f t="shared" si="0"/>
        <v>5.6</v>
      </c>
      <c r="M5" s="10">
        <f t="shared" si="0"/>
        <v>9.6999999999999993</v>
      </c>
    </row>
    <row r="6" spans="1:13" x14ac:dyDescent="0.25">
      <c r="A6" s="4" t="s">
        <v>6</v>
      </c>
      <c r="B6" s="4">
        <v>200</v>
      </c>
      <c r="C6" s="4">
        <v>90</v>
      </c>
      <c r="D6" s="1">
        <v>200</v>
      </c>
      <c r="E6" s="1">
        <v>150</v>
      </c>
      <c r="F6" s="1">
        <v>340</v>
      </c>
      <c r="H6" s="4" t="s">
        <v>6</v>
      </c>
      <c r="I6" s="11">
        <f>ROUND((B6/B$18)*100,1)</f>
        <v>9.6999999999999993</v>
      </c>
      <c r="J6" s="11">
        <f t="shared" si="0"/>
        <v>10.199999999999999</v>
      </c>
      <c r="K6" s="11">
        <f t="shared" si="0"/>
        <v>5.8</v>
      </c>
      <c r="L6" s="11">
        <f t="shared" si="0"/>
        <v>5.6</v>
      </c>
      <c r="M6" s="11">
        <f t="shared" si="0"/>
        <v>8.9</v>
      </c>
    </row>
    <row r="7" spans="1:13" x14ac:dyDescent="0.25">
      <c r="A7" s="1" t="s">
        <v>8</v>
      </c>
      <c r="B7" s="1">
        <v>80</v>
      </c>
      <c r="C7" s="1">
        <v>50</v>
      </c>
      <c r="D7" s="1">
        <v>150</v>
      </c>
      <c r="E7" s="1">
        <v>140</v>
      </c>
      <c r="F7" s="1">
        <v>320</v>
      </c>
      <c r="H7" s="1" t="s">
        <v>8</v>
      </c>
      <c r="I7" s="10">
        <f>ROUND((B7/B$18)*100,1)</f>
        <v>3.9</v>
      </c>
      <c r="J7" s="10">
        <f t="shared" si="0"/>
        <v>5.6</v>
      </c>
      <c r="K7" s="10">
        <f t="shared" si="0"/>
        <v>4.4000000000000004</v>
      </c>
      <c r="L7" s="10">
        <f t="shared" si="0"/>
        <v>5.3</v>
      </c>
      <c r="M7" s="10">
        <f t="shared" si="0"/>
        <v>8.4</v>
      </c>
    </row>
    <row r="8" spans="1:13" x14ac:dyDescent="0.25">
      <c r="A8" s="1" t="s">
        <v>10</v>
      </c>
      <c r="B8" s="4">
        <v>90</v>
      </c>
      <c r="C8" s="1">
        <v>30</v>
      </c>
      <c r="D8" s="1">
        <v>100</v>
      </c>
      <c r="E8" s="1">
        <v>140</v>
      </c>
      <c r="F8" s="1">
        <v>300</v>
      </c>
      <c r="H8" s="1" t="s">
        <v>10</v>
      </c>
      <c r="I8" s="11">
        <f>ROUND((B8/B$18)*100,1)</f>
        <v>4.4000000000000004</v>
      </c>
      <c r="J8" s="11">
        <f t="shared" si="0"/>
        <v>3.4</v>
      </c>
      <c r="K8" s="11">
        <f t="shared" si="0"/>
        <v>2.9</v>
      </c>
      <c r="L8" s="11">
        <f t="shared" si="0"/>
        <v>5.3</v>
      </c>
      <c r="M8" s="11">
        <f t="shared" si="0"/>
        <v>7.9</v>
      </c>
    </row>
    <row r="9" spans="1:13" x14ac:dyDescent="0.25">
      <c r="A9" s="4" t="s">
        <v>11</v>
      </c>
      <c r="B9" s="1">
        <v>120</v>
      </c>
      <c r="C9" s="1">
        <v>20</v>
      </c>
      <c r="D9" s="4">
        <v>230</v>
      </c>
      <c r="E9" s="1">
        <v>120</v>
      </c>
      <c r="F9" s="1">
        <v>270</v>
      </c>
      <c r="H9" s="4" t="s">
        <v>11</v>
      </c>
      <c r="I9" s="10">
        <f>ROUND((B9/B$18)*100,1)</f>
        <v>5.8</v>
      </c>
      <c r="J9" s="10">
        <f t="shared" si="0"/>
        <v>2.2999999999999998</v>
      </c>
      <c r="K9" s="10">
        <f t="shared" si="0"/>
        <v>6.7</v>
      </c>
      <c r="L9" s="10">
        <f t="shared" si="0"/>
        <v>4.5</v>
      </c>
      <c r="M9" s="10">
        <f t="shared" si="0"/>
        <v>7.1</v>
      </c>
    </row>
    <row r="10" spans="1:13" x14ac:dyDescent="0.25">
      <c r="A10" s="1" t="s">
        <v>12</v>
      </c>
      <c r="B10" s="4">
        <v>210</v>
      </c>
      <c r="C10" s="4">
        <v>70</v>
      </c>
      <c r="D10" s="1">
        <v>110</v>
      </c>
      <c r="E10" s="1">
        <v>110</v>
      </c>
      <c r="F10" s="1">
        <v>210</v>
      </c>
      <c r="H10" s="1" t="s">
        <v>12</v>
      </c>
      <c r="I10" s="11">
        <f>ROUND((B10/B$18)*100,1)</f>
        <v>10.199999999999999</v>
      </c>
      <c r="J10" s="11">
        <f t="shared" si="0"/>
        <v>7.9</v>
      </c>
      <c r="K10" s="11">
        <f t="shared" si="0"/>
        <v>3.2</v>
      </c>
      <c r="L10" s="11">
        <f t="shared" si="0"/>
        <v>4.0999999999999996</v>
      </c>
      <c r="M10" s="11">
        <f t="shared" si="0"/>
        <v>5.5</v>
      </c>
    </row>
    <row r="11" spans="1:13" x14ac:dyDescent="0.25">
      <c r="A11" s="1" t="s">
        <v>13</v>
      </c>
      <c r="B11" s="4">
        <v>60</v>
      </c>
      <c r="C11" s="4">
        <v>65</v>
      </c>
      <c r="D11" s="1">
        <v>205</v>
      </c>
      <c r="E11" s="1">
        <v>100</v>
      </c>
      <c r="F11" s="1">
        <v>100</v>
      </c>
      <c r="H11" s="1" t="s">
        <v>13</v>
      </c>
      <c r="I11" s="11">
        <f>ROUND((B11/B$18)*100,1)</f>
        <v>2.9</v>
      </c>
      <c r="J11" s="11">
        <f t="shared" si="0"/>
        <v>7.3</v>
      </c>
      <c r="K11" s="11">
        <f t="shared" si="0"/>
        <v>6</v>
      </c>
      <c r="L11" s="11">
        <f t="shared" si="0"/>
        <v>3.8</v>
      </c>
      <c r="M11" s="11">
        <f t="shared" si="0"/>
        <v>2.6</v>
      </c>
    </row>
    <row r="12" spans="1:13" x14ac:dyDescent="0.25">
      <c r="A12" s="1" t="s">
        <v>14</v>
      </c>
      <c r="B12" s="1">
        <v>140</v>
      </c>
      <c r="C12" s="1">
        <v>60</v>
      </c>
      <c r="D12" s="4">
        <v>200</v>
      </c>
      <c r="E12" s="1">
        <v>100</v>
      </c>
      <c r="F12" s="1">
        <v>200</v>
      </c>
      <c r="H12" s="1" t="s">
        <v>14</v>
      </c>
      <c r="I12" s="10">
        <f>ROUND((B12/B$18)*100,1)</f>
        <v>6.8</v>
      </c>
      <c r="J12" s="10">
        <f t="shared" si="0"/>
        <v>6.8</v>
      </c>
      <c r="K12" s="10">
        <f t="shared" si="0"/>
        <v>5.8</v>
      </c>
      <c r="L12" s="10">
        <f t="shared" si="0"/>
        <v>3.8</v>
      </c>
      <c r="M12" s="10">
        <f t="shared" si="0"/>
        <v>5.2</v>
      </c>
    </row>
    <row r="13" spans="1:13" x14ac:dyDescent="0.25">
      <c r="A13" s="1" t="s">
        <v>15</v>
      </c>
      <c r="B13" s="1">
        <v>110</v>
      </c>
      <c r="C13" s="1">
        <v>56</v>
      </c>
      <c r="D13" s="1">
        <v>100</v>
      </c>
      <c r="E13" s="1">
        <v>90</v>
      </c>
      <c r="F13" s="1">
        <v>150</v>
      </c>
      <c r="H13" s="1" t="s">
        <v>15</v>
      </c>
      <c r="I13" s="10">
        <f>ROUND((B13/B$18)*100,1)</f>
        <v>5.3</v>
      </c>
      <c r="J13" s="10">
        <f t="shared" si="0"/>
        <v>6.3</v>
      </c>
      <c r="K13" s="10">
        <f t="shared" si="0"/>
        <v>2.9</v>
      </c>
      <c r="L13" s="10">
        <f t="shared" si="0"/>
        <v>3.4</v>
      </c>
      <c r="M13" s="10">
        <f t="shared" si="0"/>
        <v>3.9</v>
      </c>
    </row>
    <row r="14" spans="1:13" x14ac:dyDescent="0.25">
      <c r="A14" s="1" t="s">
        <v>16</v>
      </c>
      <c r="B14" s="1">
        <v>105</v>
      </c>
      <c r="C14" s="1">
        <v>55</v>
      </c>
      <c r="D14" s="1">
        <v>300</v>
      </c>
      <c r="E14" s="1">
        <v>75</v>
      </c>
      <c r="F14" s="1">
        <v>300</v>
      </c>
      <c r="H14" s="1" t="s">
        <v>16</v>
      </c>
      <c r="I14" s="10">
        <f>ROUND((B14/B$18)*100,1)</f>
        <v>5.0999999999999996</v>
      </c>
      <c r="J14" s="10">
        <f t="shared" si="0"/>
        <v>6.2</v>
      </c>
      <c r="K14" s="10">
        <f t="shared" si="0"/>
        <v>8.8000000000000007</v>
      </c>
      <c r="L14" s="10">
        <f t="shared" si="0"/>
        <v>2.8</v>
      </c>
      <c r="M14" s="10">
        <f t="shared" si="0"/>
        <v>7.9</v>
      </c>
    </row>
    <row r="15" spans="1:13" x14ac:dyDescent="0.25">
      <c r="A15" s="1" t="s">
        <v>17</v>
      </c>
      <c r="B15" s="1">
        <v>200</v>
      </c>
      <c r="C15" s="1">
        <v>50</v>
      </c>
      <c r="D15" s="1">
        <v>100</v>
      </c>
      <c r="E15" s="1">
        <v>70</v>
      </c>
      <c r="F15" s="4">
        <v>140</v>
      </c>
      <c r="H15" s="1" t="s">
        <v>17</v>
      </c>
      <c r="I15" s="10">
        <f>ROUND((B15/B$18)*100,1)</f>
        <v>9.6999999999999993</v>
      </c>
      <c r="J15" s="10">
        <f t="shared" si="0"/>
        <v>5.6</v>
      </c>
      <c r="K15" s="10">
        <f t="shared" si="0"/>
        <v>2.9</v>
      </c>
      <c r="L15" s="10">
        <f t="shared" si="0"/>
        <v>2.6</v>
      </c>
      <c r="M15" s="10">
        <f t="shared" si="0"/>
        <v>3.7</v>
      </c>
    </row>
    <row r="16" spans="1:13" x14ac:dyDescent="0.25">
      <c r="A16" s="1" t="s">
        <v>18</v>
      </c>
      <c r="B16" s="1">
        <v>70</v>
      </c>
      <c r="C16" s="1">
        <v>40</v>
      </c>
      <c r="D16" s="1">
        <v>100</v>
      </c>
      <c r="E16" s="1">
        <v>60</v>
      </c>
      <c r="F16" s="1">
        <v>130</v>
      </c>
      <c r="H16" s="1" t="s">
        <v>18</v>
      </c>
      <c r="I16" s="10">
        <f>ROUND((B16/B$18)*100,1)</f>
        <v>3.4</v>
      </c>
      <c r="J16" s="10">
        <f t="shared" si="0"/>
        <v>4.5</v>
      </c>
      <c r="K16" s="10">
        <f t="shared" si="0"/>
        <v>2.9</v>
      </c>
      <c r="L16" s="10">
        <f t="shared" si="0"/>
        <v>2.2999999999999998</v>
      </c>
      <c r="M16" s="10">
        <f t="shared" si="0"/>
        <v>3.4</v>
      </c>
    </row>
    <row r="17" spans="1:13" x14ac:dyDescent="0.25">
      <c r="A17" s="5" t="s">
        <v>19</v>
      </c>
      <c r="B17" s="5">
        <v>80</v>
      </c>
      <c r="C17" s="5">
        <v>20</v>
      </c>
      <c r="D17" s="5">
        <v>130</v>
      </c>
      <c r="E17" s="5">
        <v>55</v>
      </c>
      <c r="F17" s="5">
        <v>200</v>
      </c>
      <c r="H17" s="5" t="s">
        <v>19</v>
      </c>
      <c r="I17" s="12">
        <f>ROUND((B17/B$18)*100,1)</f>
        <v>3.9</v>
      </c>
      <c r="J17" s="12">
        <f t="shared" si="0"/>
        <v>2.2999999999999998</v>
      </c>
      <c r="K17" s="12">
        <f t="shared" si="0"/>
        <v>3.8</v>
      </c>
      <c r="L17" s="12">
        <f t="shared" si="0"/>
        <v>2.1</v>
      </c>
      <c r="M17" s="12">
        <f t="shared" si="0"/>
        <v>5.2</v>
      </c>
    </row>
    <row r="18" spans="1:13" x14ac:dyDescent="0.25">
      <c r="A18" s="8" t="s">
        <v>25</v>
      </c>
      <c r="B18" s="3">
        <f>SUM(B3:B17)</f>
        <v>2065</v>
      </c>
      <c r="C18" s="3">
        <f t="shared" ref="C18:F18" si="1">SUM(C3:C17)</f>
        <v>886</v>
      </c>
      <c r="D18" s="3">
        <f t="shared" si="1"/>
        <v>3425</v>
      </c>
      <c r="E18" s="3">
        <f t="shared" si="1"/>
        <v>2660</v>
      </c>
      <c r="F18" s="3">
        <f t="shared" si="1"/>
        <v>3810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F4"/>
  <sheetViews>
    <sheetView tabSelected="1" workbookViewId="0">
      <selection activeCell="F8" sqref="F8"/>
    </sheetView>
  </sheetViews>
  <sheetFormatPr defaultColWidth="11.42578125" defaultRowHeight="15" x14ac:dyDescent="0.25"/>
  <cols>
    <col min="1" max="1" width="30.85546875" customWidth="1"/>
  </cols>
  <sheetData>
    <row r="1" spans="1:6" ht="15.75" thickBot="1" x14ac:dyDescent="0.3">
      <c r="A1" s="6" t="s">
        <v>20</v>
      </c>
    </row>
    <row r="2" spans="1:6" ht="15.75" thickBot="1" x14ac:dyDescent="0.3">
      <c r="A2" s="9"/>
      <c r="B2" s="7" t="s">
        <v>1</v>
      </c>
      <c r="C2" s="7" t="s">
        <v>3</v>
      </c>
      <c r="D2" s="7" t="s">
        <v>5</v>
      </c>
      <c r="E2" s="7" t="s">
        <v>7</v>
      </c>
      <c r="F2" s="7" t="s">
        <v>9</v>
      </c>
    </row>
    <row r="3" spans="1:6" ht="15.75" thickBot="1" x14ac:dyDescent="0.3">
      <c r="A3" s="9" t="s">
        <v>21</v>
      </c>
      <c r="B3" s="13">
        <v>2065</v>
      </c>
      <c r="C3" s="13">
        <v>886</v>
      </c>
      <c r="D3" s="13">
        <v>3425</v>
      </c>
      <c r="E3" s="13">
        <v>2660</v>
      </c>
      <c r="F3" s="14">
        <v>3810</v>
      </c>
    </row>
    <row r="4" spans="1:6" ht="15.75" thickBot="1" x14ac:dyDescent="0.3">
      <c r="A4" s="9" t="s">
        <v>22</v>
      </c>
      <c r="B4" s="15">
        <v>848</v>
      </c>
      <c r="C4" s="15">
        <v>805</v>
      </c>
      <c r="D4" s="15">
        <v>993</v>
      </c>
      <c r="E4" s="16">
        <v>1762</v>
      </c>
      <c r="F4" s="17"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</vt:lpstr>
      <vt:lpstr>Synthèse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Peltrault</dc:creator>
  <cp:lastModifiedBy>asus pro</cp:lastModifiedBy>
  <dcterms:created xsi:type="dcterms:W3CDTF">2014-10-23T06:54:47Z</dcterms:created>
  <dcterms:modified xsi:type="dcterms:W3CDTF">2017-07-08T20:36:45Z</dcterms:modified>
</cp:coreProperties>
</file>